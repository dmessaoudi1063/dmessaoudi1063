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00" yWindow="150" windowWidth="14115" windowHeight="7995" activeTab="2"/>
  </bookViews>
  <sheets>
    <sheet name="Feuil1" sheetId="1" r:id="rId1"/>
    <sheet name="Feuil2" sheetId="2" r:id="rId2"/>
    <sheet name="Feuil3" sheetId="3" r:id="rId3"/>
  </sheets>
  <calcPr calcId="144525"/>
</workbook>
</file>

<file path=xl/calcChain.xml><?xml version="1.0" encoding="utf-8"?>
<calcChain xmlns="http://schemas.openxmlformats.org/spreadsheetml/2006/main">
  <c r="C9" i="3" l="1"/>
  <c r="F9" i="3" s="1"/>
  <c r="D25" i="3" l="1"/>
  <c r="G25" i="3" s="1"/>
  <c r="C25" i="3"/>
  <c r="F25" i="3" s="1"/>
  <c r="B25" i="3"/>
  <c r="E25" i="3" s="1"/>
  <c r="D23" i="3"/>
  <c r="G23" i="3" s="1"/>
  <c r="C23" i="3"/>
  <c r="F23" i="3" s="1"/>
  <c r="B23" i="3"/>
  <c r="E23" i="3" s="1"/>
  <c r="D21" i="3"/>
  <c r="G21" i="3" s="1"/>
  <c r="C21" i="3"/>
  <c r="F21" i="3" s="1"/>
  <c r="B21" i="3"/>
  <c r="E21" i="3" s="1"/>
  <c r="D19" i="3"/>
  <c r="G19" i="3" s="1"/>
  <c r="C19" i="3"/>
  <c r="F19" i="3" s="1"/>
  <c r="B19" i="3"/>
  <c r="E19" i="3" s="1"/>
  <c r="D17" i="3"/>
  <c r="G17" i="3" s="1"/>
  <c r="C17" i="3"/>
  <c r="F17" i="3" s="1"/>
  <c r="B17" i="3"/>
  <c r="E17" i="3" s="1"/>
  <c r="D15" i="3"/>
  <c r="G15" i="3" s="1"/>
  <c r="C15" i="3"/>
  <c r="F15" i="3" s="1"/>
  <c r="B15" i="3"/>
  <c r="E15" i="3" s="1"/>
  <c r="D13" i="3"/>
  <c r="G13" i="3" s="1"/>
  <c r="C13" i="3"/>
  <c r="F13" i="3" s="1"/>
  <c r="B13" i="3"/>
  <c r="E13" i="3" s="1"/>
  <c r="D11" i="3"/>
  <c r="G11" i="3" s="1"/>
  <c r="C11" i="3"/>
  <c r="F11" i="3" s="1"/>
  <c r="B11" i="3"/>
  <c r="E11" i="3" s="1"/>
  <c r="B9" i="3"/>
  <c r="B7" i="3"/>
  <c r="E7" i="3" s="1"/>
  <c r="H25" i="3" l="1"/>
  <c r="H23" i="3"/>
  <c r="H21" i="3"/>
  <c r="H19" i="3"/>
  <c r="H17" i="3"/>
  <c r="H15" i="3"/>
  <c r="H13" i="3"/>
  <c r="H11" i="3"/>
  <c r="D9" i="3"/>
  <c r="G9" i="3" s="1"/>
  <c r="D7" i="3"/>
  <c r="G7" i="3" s="1"/>
  <c r="D3" i="1"/>
  <c r="C7" i="3"/>
  <c r="C3" i="1"/>
  <c r="D4" i="1"/>
  <c r="C4" i="1"/>
  <c r="F7" i="3" l="1"/>
  <c r="H7" i="3" s="1"/>
  <c r="E9" i="3"/>
  <c r="H9" i="3" l="1"/>
  <c r="H26" i="3" s="1"/>
  <c r="H27" i="3" s="1"/>
</calcChain>
</file>

<file path=xl/sharedStrings.xml><?xml version="1.0" encoding="utf-8"?>
<sst xmlns="http://schemas.openxmlformats.org/spreadsheetml/2006/main" count="42" uniqueCount="42">
  <si>
    <t>right</t>
  </si>
  <si>
    <t>wrong</t>
  </si>
  <si>
    <t>https://www.youtube.com/watch?v=DADgC15bF4w</t>
  </si>
  <si>
    <t>Aghbalou Secondary School</t>
  </si>
  <si>
    <t>Teacher: D.Messaoudi</t>
  </si>
  <si>
    <t>houses</t>
  </si>
  <si>
    <t>rights</t>
  </si>
  <si>
    <t>guns</t>
  </si>
  <si>
    <t>lips</t>
  </si>
  <si>
    <t>foxes</t>
  </si>
  <si>
    <t>bees</t>
  </si>
  <si>
    <t>babies</t>
  </si>
  <si>
    <t>cliffs</t>
  </si>
  <si>
    <t>matches</t>
  </si>
  <si>
    <t>whales</t>
  </si>
  <si>
    <t>bridges</t>
  </si>
  <si>
    <t>snakes</t>
  </si>
  <si>
    <t>places</t>
  </si>
  <si>
    <t>ducks</t>
  </si>
  <si>
    <t>bags</t>
  </si>
  <si>
    <t>wishes</t>
  </si>
  <si>
    <t>cameras</t>
  </si>
  <si>
    <t>ethics</t>
  </si>
  <si>
    <t>myths</t>
  </si>
  <si>
    <t>cages</t>
  </si>
  <si>
    <t>balls</t>
  </si>
  <si>
    <t>aids</t>
  </si>
  <si>
    <t>types</t>
  </si>
  <si>
    <t>classes</t>
  </si>
  <si>
    <t>cars</t>
  </si>
  <si>
    <t>prizes</t>
  </si>
  <si>
    <t>graphs</t>
  </si>
  <si>
    <t>songs</t>
  </si>
  <si>
    <t>techniques</t>
  </si>
  <si>
    <t>INSTRUCTION</t>
  </si>
  <si>
    <t>◄ Put each of the following nouns in the right column.</t>
  </si>
  <si>
    <t>[s]</t>
  </si>
  <si>
    <t>[z]</t>
  </si>
  <si>
    <r>
      <t>[</t>
    </r>
    <r>
      <rPr>
        <b/>
        <sz val="11"/>
        <color theme="1"/>
        <rFont val="Calibri"/>
        <family val="2"/>
      </rPr>
      <t>ɪ</t>
    </r>
    <r>
      <rPr>
        <b/>
        <sz val="11"/>
        <color theme="1"/>
        <rFont val="Calibri"/>
        <family val="2"/>
        <scheme val="minor"/>
      </rPr>
      <t>z]</t>
    </r>
  </si>
  <si>
    <t>noses</t>
  </si>
  <si>
    <t>Score</t>
  </si>
  <si>
    <t>/10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</si>
</sst>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14"/>
      <color theme="1"/>
      <name val="Wingdings"/>
      <charset val="2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1"/>
      <color rgb="FF00B0F0"/>
      <name val="Arial"/>
      <family val="2"/>
    </font>
    <font>
      <b/>
      <sz val="11"/>
      <color theme="1"/>
      <name val="Calibri"/>
      <family val="2"/>
    </font>
    <font>
      <sz val="8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/>
    <xf numFmtId="0" fontId="5" fillId="0" borderId="0" xfId="1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4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/>
    <xf numFmtId="0" fontId="0" fillId="0" borderId="0" xfId="0" applyAlignment="1">
      <alignment horizontal="center"/>
    </xf>
    <xf numFmtId="0" fontId="0" fillId="0" borderId="3" xfId="0" applyBorder="1"/>
    <xf numFmtId="0" fontId="2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7" fillId="0" borderId="0" xfId="0" applyFont="1" applyFill="1" applyAlignment="1" applyProtection="1">
      <alignment horizontal="center" vertical="center"/>
      <protection hidden="1"/>
    </xf>
    <xf numFmtId="0" fontId="0" fillId="4" borderId="0" xfId="0" applyFill="1" applyProtection="1">
      <protection hidden="1"/>
    </xf>
    <xf numFmtId="0" fontId="0" fillId="0" borderId="0" xfId="0" applyProtection="1">
      <protection hidden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2" fontId="8" fillId="0" borderId="7" xfId="0" applyNumberFormat="1" applyFont="1" applyFill="1" applyBorder="1" applyAlignment="1">
      <alignment horizontal="center" vertical="center"/>
    </xf>
    <xf numFmtId="2" fontId="8" fillId="0" borderId="8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4" borderId="0" xfId="0" applyFont="1" applyFill="1"/>
    <xf numFmtId="0" fontId="15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6" fillId="7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0" borderId="0" xfId="0" applyFill="1" applyBorder="1" applyAlignment="1">
      <alignment horizont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26</xdr:row>
          <xdr:rowOff>19050</xdr:rowOff>
        </xdr:from>
        <xdr:to>
          <xdr:col>2</xdr:col>
          <xdr:colOff>723900</xdr:colOff>
          <xdr:row>27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watch?v=DADgC15bF4w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3:D4"/>
  <sheetViews>
    <sheetView workbookViewId="0">
      <selection activeCell="D3" sqref="D3"/>
    </sheetView>
  </sheetViews>
  <sheetFormatPr baseColWidth="10" defaultRowHeight="15" x14ac:dyDescent="0.25"/>
  <cols>
    <col min="3" max="3" width="8.28515625" customWidth="1"/>
    <col min="4" max="4" width="6" customWidth="1"/>
  </cols>
  <sheetData>
    <row r="3" spans="2:4" ht="18.75" x14ac:dyDescent="0.3">
      <c r="B3" s="4" t="s">
        <v>0</v>
      </c>
      <c r="C3" s="1" t="str">
        <f>IF(B3="right", CHAR(252),CHAR(251))</f>
        <v>ü</v>
      </c>
      <c r="D3" s="3">
        <f>IF(C3=CHAR(252),1,0)</f>
        <v>1</v>
      </c>
    </row>
    <row r="4" spans="2:4" ht="18.75" x14ac:dyDescent="0.3">
      <c r="B4" s="4" t="s">
        <v>1</v>
      </c>
      <c r="C4" s="1" t="str">
        <f>IF(B4="right", CHAR(252),CHAR(251))</f>
        <v>û</v>
      </c>
      <c r="D4" s="3">
        <f>IF(C4=CHAR(252),1,0)</f>
        <v>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>
    <row r="1" spans="1:1" x14ac:dyDescent="0.25">
      <c r="A1" s="5" t="s">
        <v>2</v>
      </c>
    </row>
  </sheetData>
  <hyperlinks>
    <hyperlink ref="A1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28"/>
  <sheetViews>
    <sheetView tabSelected="1" zoomScale="90" zoomScaleNormal="90" workbookViewId="0">
      <selection activeCell="L29" sqref="L29"/>
    </sheetView>
  </sheetViews>
  <sheetFormatPr baseColWidth="10" defaultRowHeight="15" x14ac:dyDescent="0.25"/>
  <cols>
    <col min="1" max="1" width="3.42578125" customWidth="1"/>
    <col min="5" max="5" width="3" hidden="1" customWidth="1"/>
    <col min="6" max="6" width="3.140625" hidden="1" customWidth="1"/>
    <col min="7" max="7" width="3" hidden="1" customWidth="1"/>
    <col min="8" max="8" width="7.140625" customWidth="1"/>
    <col min="9" max="9" width="4.28515625" customWidth="1"/>
    <col min="10" max="10" width="2.28515625" customWidth="1"/>
    <col min="11" max="11" width="2.7109375" customWidth="1"/>
    <col min="12" max="12" width="16.28515625" customWidth="1"/>
    <col min="13" max="13" width="16.7109375" customWidth="1"/>
    <col min="14" max="14" width="18" customWidth="1"/>
  </cols>
  <sheetData>
    <row r="1" spans="1:14" ht="15.75" x14ac:dyDescent="0.25">
      <c r="A1" s="8"/>
      <c r="B1" s="8"/>
      <c r="C1" s="8"/>
      <c r="D1" s="8"/>
      <c r="E1" s="7"/>
      <c r="F1" s="7"/>
      <c r="G1" s="7"/>
      <c r="H1" s="7"/>
      <c r="I1" s="8"/>
      <c r="L1" s="35" t="s">
        <v>34</v>
      </c>
      <c r="M1" s="36"/>
      <c r="N1" s="36"/>
    </row>
    <row r="2" spans="1:14" x14ac:dyDescent="0.25">
      <c r="A2" s="8"/>
      <c r="B2" s="30" t="s">
        <v>3</v>
      </c>
      <c r="C2" s="30"/>
      <c r="D2" s="30"/>
      <c r="H2" s="40"/>
      <c r="I2" s="8"/>
      <c r="L2" s="32" t="s">
        <v>35</v>
      </c>
      <c r="M2" s="33"/>
      <c r="N2" s="33"/>
    </row>
    <row r="3" spans="1:14" x14ac:dyDescent="0.25">
      <c r="A3" s="8"/>
      <c r="B3" s="31" t="s">
        <v>4</v>
      </c>
      <c r="C3" s="31"/>
      <c r="D3" s="31"/>
      <c r="H3" s="40"/>
      <c r="I3" s="8"/>
      <c r="L3" s="34"/>
      <c r="M3" s="34"/>
      <c r="N3" s="34"/>
    </row>
    <row r="4" spans="1:14" ht="9" customHeight="1" x14ac:dyDescent="0.25">
      <c r="A4" s="8"/>
      <c r="B4" s="8"/>
      <c r="C4" s="8"/>
      <c r="D4" s="8"/>
      <c r="E4" s="8"/>
      <c r="F4" s="8"/>
      <c r="G4" s="8"/>
      <c r="H4" s="8"/>
      <c r="I4" s="8"/>
      <c r="L4" s="37"/>
      <c r="M4" s="38"/>
      <c r="N4" s="39"/>
    </row>
    <row r="5" spans="1:14" x14ac:dyDescent="0.25">
      <c r="A5" s="8"/>
      <c r="B5" s="20" t="s">
        <v>36</v>
      </c>
      <c r="C5" s="20" t="s">
        <v>37</v>
      </c>
      <c r="D5" s="20" t="s">
        <v>38</v>
      </c>
      <c r="E5" s="6"/>
      <c r="F5" s="6"/>
      <c r="G5" s="6"/>
      <c r="H5" s="11"/>
      <c r="I5" s="8"/>
      <c r="L5" s="14"/>
      <c r="M5" s="14"/>
      <c r="N5" s="14"/>
    </row>
    <row r="6" spans="1:14" x14ac:dyDescent="0.25">
      <c r="A6" s="26">
        <v>1</v>
      </c>
      <c r="B6" s="22"/>
      <c r="C6" s="22"/>
      <c r="D6" s="22"/>
      <c r="E6" s="2"/>
      <c r="F6" s="2"/>
      <c r="G6" s="2"/>
      <c r="H6" s="12"/>
      <c r="I6" s="8"/>
      <c r="K6" s="27">
        <v>1</v>
      </c>
      <c r="L6" s="28" t="s">
        <v>5</v>
      </c>
      <c r="M6" s="28" t="s">
        <v>6</v>
      </c>
      <c r="N6" s="28" t="s">
        <v>7</v>
      </c>
    </row>
    <row r="7" spans="1:14" x14ac:dyDescent="0.25">
      <c r="A7" s="26"/>
      <c r="B7" s="21" t="str">
        <f>IF(B6="rights", CHAR(252),CHAR(251))</f>
        <v>û</v>
      </c>
      <c r="C7" s="21" t="str">
        <f>IF(C6="guns", CHAR(252),CHAR(251))</f>
        <v>û</v>
      </c>
      <c r="D7" s="21" t="str">
        <f>IF(D6="houses", CHAR(252),CHAR(251))</f>
        <v>û</v>
      </c>
      <c r="E7" s="2">
        <f>IF(B7=CHAR(252),1,0)</f>
        <v>0</v>
      </c>
      <c r="F7" s="2">
        <f>IF(C7=CHAR(252),1,0)</f>
        <v>0</v>
      </c>
      <c r="G7" s="2">
        <f>IF(D7=CHAR(252),1,0)</f>
        <v>0</v>
      </c>
      <c r="H7" s="10">
        <f>(G7+F7+E7)</f>
        <v>0</v>
      </c>
      <c r="I7" s="8"/>
      <c r="K7" s="27"/>
      <c r="L7" s="29"/>
      <c r="M7" s="29"/>
      <c r="N7" s="29"/>
    </row>
    <row r="8" spans="1:14" x14ac:dyDescent="0.25">
      <c r="A8" s="26">
        <v>2</v>
      </c>
      <c r="B8" s="22"/>
      <c r="C8" s="22"/>
      <c r="D8" s="22"/>
      <c r="E8" s="2"/>
      <c r="F8" s="2"/>
      <c r="G8" s="2"/>
      <c r="H8" s="10"/>
      <c r="I8" s="8"/>
      <c r="K8" s="27">
        <v>2</v>
      </c>
      <c r="L8" s="28" t="s">
        <v>8</v>
      </c>
      <c r="M8" s="28" t="s">
        <v>9</v>
      </c>
      <c r="N8" s="28" t="s">
        <v>10</v>
      </c>
    </row>
    <row r="9" spans="1:14" x14ac:dyDescent="0.25">
      <c r="A9" s="26"/>
      <c r="B9" s="21" t="str">
        <f>IF(B8="lips", CHAR(252),CHAR(251))</f>
        <v>û</v>
      </c>
      <c r="C9" s="21" t="str">
        <f>IF(C8="bees", CHAR(252),CHAR(251))</f>
        <v>û</v>
      </c>
      <c r="D9" s="21" t="str">
        <f>IF(D8="foxes", CHAR(252),CHAR(251))</f>
        <v>û</v>
      </c>
      <c r="E9" s="2">
        <f>IF(B9=CHAR(252),1,0)</f>
        <v>0</v>
      </c>
      <c r="F9" s="2">
        <f>IF(C9=CHAR(252),1,0)</f>
        <v>0</v>
      </c>
      <c r="G9" s="2">
        <f>IF(D9=CHAR(252),1,0)</f>
        <v>0</v>
      </c>
      <c r="H9" s="10">
        <f t="shared" ref="H9:H25" si="0">(G9+F9+E9)</f>
        <v>0</v>
      </c>
      <c r="I9" s="8"/>
      <c r="K9" s="27"/>
      <c r="L9" s="29"/>
      <c r="M9" s="29"/>
      <c r="N9" s="29"/>
    </row>
    <row r="10" spans="1:14" x14ac:dyDescent="0.25">
      <c r="A10" s="26">
        <v>3</v>
      </c>
      <c r="B10" s="22"/>
      <c r="C10" s="22"/>
      <c r="D10" s="22"/>
      <c r="E10" s="2"/>
      <c r="F10" s="2"/>
      <c r="G10" s="2"/>
      <c r="H10" s="10"/>
      <c r="I10" s="8"/>
      <c r="K10" s="27">
        <v>3</v>
      </c>
      <c r="L10" s="28" t="s">
        <v>11</v>
      </c>
      <c r="M10" s="28" t="s">
        <v>12</v>
      </c>
      <c r="N10" s="28" t="s">
        <v>13</v>
      </c>
    </row>
    <row r="11" spans="1:14" x14ac:dyDescent="0.25">
      <c r="A11" s="26"/>
      <c r="B11" s="21" t="str">
        <f>IF(B10="cliffs", CHAR(252),CHAR(251))</f>
        <v>û</v>
      </c>
      <c r="C11" s="21" t="str">
        <f>IF(C10="babies", CHAR(252),CHAR(251))</f>
        <v>û</v>
      </c>
      <c r="D11" s="21" t="str">
        <f>IF(D10="matches", CHAR(252),CHAR(251))</f>
        <v>û</v>
      </c>
      <c r="E11" s="2">
        <f>IF(B11=CHAR(252),1,0)</f>
        <v>0</v>
      </c>
      <c r="F11" s="2">
        <f>IF(C11=CHAR(252),1,0)</f>
        <v>0</v>
      </c>
      <c r="G11" s="2">
        <f>IF(D11=CHAR(252),1,0)</f>
        <v>0</v>
      </c>
      <c r="H11" s="10">
        <f t="shared" si="0"/>
        <v>0</v>
      </c>
      <c r="I11" s="8"/>
      <c r="K11" s="27"/>
      <c r="L11" s="29"/>
      <c r="M11" s="29"/>
      <c r="N11" s="29"/>
    </row>
    <row r="12" spans="1:14" x14ac:dyDescent="0.25">
      <c r="A12" s="26">
        <v>4</v>
      </c>
      <c r="B12" s="22"/>
      <c r="C12" s="22"/>
      <c r="D12" s="22"/>
      <c r="E12" s="2"/>
      <c r="F12" s="2"/>
      <c r="G12" s="2"/>
      <c r="H12" s="10"/>
      <c r="I12" s="8"/>
      <c r="K12" s="27">
        <v>4</v>
      </c>
      <c r="L12" s="28" t="s">
        <v>14</v>
      </c>
      <c r="M12" s="28" t="s">
        <v>15</v>
      </c>
      <c r="N12" s="28" t="s">
        <v>16</v>
      </c>
    </row>
    <row r="13" spans="1:14" x14ac:dyDescent="0.25">
      <c r="A13" s="26"/>
      <c r="B13" s="21" t="str">
        <f>IF(B12="snakes", CHAR(252),CHAR(251))</f>
        <v>û</v>
      </c>
      <c r="C13" s="21" t="str">
        <f>IF(C12="whales", CHAR(252),CHAR(251))</f>
        <v>û</v>
      </c>
      <c r="D13" s="21" t="str">
        <f>IF(D12="bridges", CHAR(252),CHAR(251))</f>
        <v>û</v>
      </c>
      <c r="E13" s="2">
        <f>IF(B13=CHAR(252),1,0)</f>
        <v>0</v>
      </c>
      <c r="F13" s="2">
        <f>IF(C13=CHAR(252),1,0)</f>
        <v>0</v>
      </c>
      <c r="G13" s="2">
        <f>IF(D13=CHAR(252),1,0)</f>
        <v>0</v>
      </c>
      <c r="H13" s="10">
        <f t="shared" si="0"/>
        <v>0</v>
      </c>
      <c r="I13" s="8"/>
      <c r="K13" s="27"/>
      <c r="L13" s="29"/>
      <c r="M13" s="29"/>
      <c r="N13" s="29"/>
    </row>
    <row r="14" spans="1:14" x14ac:dyDescent="0.25">
      <c r="A14" s="26">
        <v>5</v>
      </c>
      <c r="B14" s="22"/>
      <c r="C14" s="22"/>
      <c r="D14" s="22"/>
      <c r="E14" s="2"/>
      <c r="F14" s="2"/>
      <c r="G14" s="2"/>
      <c r="H14" s="10"/>
      <c r="I14" s="8"/>
      <c r="K14" s="27">
        <v>5</v>
      </c>
      <c r="L14" s="28" t="s">
        <v>17</v>
      </c>
      <c r="M14" s="28" t="s">
        <v>18</v>
      </c>
      <c r="N14" s="28" t="s">
        <v>19</v>
      </c>
    </row>
    <row r="15" spans="1:14" x14ac:dyDescent="0.25">
      <c r="A15" s="26"/>
      <c r="B15" s="21" t="str">
        <f>IF(B14="ducks", CHAR(252),CHAR(251))</f>
        <v>û</v>
      </c>
      <c r="C15" s="21" t="str">
        <f>IF(C14="bags", CHAR(252),CHAR(251))</f>
        <v>û</v>
      </c>
      <c r="D15" s="21" t="str">
        <f>IF(D14="places", CHAR(252),CHAR(251))</f>
        <v>û</v>
      </c>
      <c r="E15" s="2">
        <f>IF(B15=CHAR(252),1,0)</f>
        <v>0</v>
      </c>
      <c r="F15" s="2">
        <f>IF(C15=CHAR(252),1,0)</f>
        <v>0</v>
      </c>
      <c r="G15" s="2">
        <f>IF(D15=CHAR(252),1,0)</f>
        <v>0</v>
      </c>
      <c r="H15" s="10">
        <f t="shared" si="0"/>
        <v>0</v>
      </c>
      <c r="I15" s="8"/>
      <c r="K15" s="27"/>
      <c r="L15" s="29"/>
      <c r="M15" s="29"/>
      <c r="N15" s="29"/>
    </row>
    <row r="16" spans="1:14" x14ac:dyDescent="0.25">
      <c r="A16" s="26">
        <v>6</v>
      </c>
      <c r="B16" s="22"/>
      <c r="C16" s="22"/>
      <c r="D16" s="22"/>
      <c r="E16" s="2"/>
      <c r="F16" s="2"/>
      <c r="G16" s="2"/>
      <c r="H16" s="10"/>
      <c r="I16" s="8"/>
      <c r="K16" s="27">
        <v>6</v>
      </c>
      <c r="L16" s="28" t="s">
        <v>20</v>
      </c>
      <c r="M16" s="28" t="s">
        <v>21</v>
      </c>
      <c r="N16" s="28" t="s">
        <v>22</v>
      </c>
    </row>
    <row r="17" spans="1:14" x14ac:dyDescent="0.25">
      <c r="A17" s="26"/>
      <c r="B17" s="21" t="str">
        <f>IF(B16="ethics", CHAR(252),CHAR(251))</f>
        <v>û</v>
      </c>
      <c r="C17" s="21" t="str">
        <f>IF(C16="cameras", CHAR(252),CHAR(251))</f>
        <v>û</v>
      </c>
      <c r="D17" s="21" t="str">
        <f>IF(D16="wishes", CHAR(252),CHAR(251))</f>
        <v>û</v>
      </c>
      <c r="E17" s="2">
        <f>IF(B17=CHAR(252),1,0)</f>
        <v>0</v>
      </c>
      <c r="F17" s="2">
        <f>IF(C17=CHAR(252),1,0)</f>
        <v>0</v>
      </c>
      <c r="G17" s="2">
        <f>IF(D17=CHAR(252),1,0)</f>
        <v>0</v>
      </c>
      <c r="H17" s="10">
        <f t="shared" si="0"/>
        <v>0</v>
      </c>
      <c r="I17" s="8"/>
      <c r="K17" s="27"/>
      <c r="L17" s="29"/>
      <c r="M17" s="29"/>
      <c r="N17" s="29"/>
    </row>
    <row r="18" spans="1:14" x14ac:dyDescent="0.25">
      <c r="A18" s="26">
        <v>7</v>
      </c>
      <c r="B18" s="22"/>
      <c r="C18" s="22"/>
      <c r="D18" s="22"/>
      <c r="E18" s="2"/>
      <c r="F18" s="2"/>
      <c r="G18" s="2"/>
      <c r="H18" s="10"/>
      <c r="I18" s="8"/>
      <c r="K18" s="27">
        <v>7</v>
      </c>
      <c r="L18" s="28" t="s">
        <v>23</v>
      </c>
      <c r="M18" s="28" t="s">
        <v>24</v>
      </c>
      <c r="N18" s="28" t="s">
        <v>25</v>
      </c>
    </row>
    <row r="19" spans="1:14" x14ac:dyDescent="0.25">
      <c r="A19" s="26"/>
      <c r="B19" s="21" t="str">
        <f>IF(B18="myths", CHAR(252),CHAR(251))</f>
        <v>û</v>
      </c>
      <c r="C19" s="21" t="str">
        <f>IF(C18="balls", CHAR(252),CHAR(251))</f>
        <v>û</v>
      </c>
      <c r="D19" s="21" t="str">
        <f>IF(D18="cages", CHAR(252),CHAR(251))</f>
        <v>û</v>
      </c>
      <c r="E19" s="2">
        <f>IF(B19=CHAR(252),1,0)</f>
        <v>0</v>
      </c>
      <c r="F19" s="2">
        <f>IF(C19=CHAR(252),1,0)</f>
        <v>0</v>
      </c>
      <c r="G19" s="2">
        <f>IF(D19=CHAR(252),1,0)</f>
        <v>0</v>
      </c>
      <c r="H19" s="10">
        <f t="shared" si="0"/>
        <v>0</v>
      </c>
      <c r="I19" s="8"/>
      <c r="K19" s="27"/>
      <c r="L19" s="29"/>
      <c r="M19" s="29"/>
      <c r="N19" s="29"/>
    </row>
    <row r="20" spans="1:14" x14ac:dyDescent="0.25">
      <c r="A20" s="26">
        <v>8</v>
      </c>
      <c r="B20" s="22"/>
      <c r="C20" s="22"/>
      <c r="D20" s="22"/>
      <c r="E20" s="2"/>
      <c r="F20" s="2"/>
      <c r="G20" s="2"/>
      <c r="H20" s="10"/>
      <c r="I20" s="8"/>
      <c r="K20" s="27">
        <v>8</v>
      </c>
      <c r="L20" s="28" t="s">
        <v>26</v>
      </c>
      <c r="M20" s="28" t="s">
        <v>27</v>
      </c>
      <c r="N20" s="28" t="s">
        <v>28</v>
      </c>
    </row>
    <row r="21" spans="1:14" x14ac:dyDescent="0.25">
      <c r="A21" s="26"/>
      <c r="B21" s="21" t="str">
        <f>IF(B20="types", CHAR(252),CHAR(251))</f>
        <v>û</v>
      </c>
      <c r="C21" s="21" t="str">
        <f>IF(C20="aids", CHAR(252),CHAR(251))</f>
        <v>û</v>
      </c>
      <c r="D21" s="21" t="str">
        <f>IF(D20="classes", CHAR(252),CHAR(251))</f>
        <v>û</v>
      </c>
      <c r="E21" s="2">
        <f>IF(B21=CHAR(252),1,0)</f>
        <v>0</v>
      </c>
      <c r="F21" s="2">
        <f>IF(C21=CHAR(252),1,0)</f>
        <v>0</v>
      </c>
      <c r="G21" s="2">
        <f>IF(D21=CHAR(252),1,0)</f>
        <v>0</v>
      </c>
      <c r="H21" s="10">
        <f t="shared" si="0"/>
        <v>0</v>
      </c>
      <c r="I21" s="8"/>
      <c r="K21" s="27"/>
      <c r="L21" s="29"/>
      <c r="M21" s="29"/>
      <c r="N21" s="29"/>
    </row>
    <row r="22" spans="1:14" x14ac:dyDescent="0.25">
      <c r="A22" s="26">
        <v>9</v>
      </c>
      <c r="B22" s="22"/>
      <c r="C22" s="22"/>
      <c r="D22" s="22"/>
      <c r="E22" s="2"/>
      <c r="F22" s="2"/>
      <c r="G22" s="2"/>
      <c r="H22" s="10"/>
      <c r="I22" s="8"/>
      <c r="K22" s="27">
        <v>9</v>
      </c>
      <c r="L22" s="28" t="s">
        <v>30</v>
      </c>
      <c r="M22" s="28" t="s">
        <v>29</v>
      </c>
      <c r="N22" s="28" t="s">
        <v>31</v>
      </c>
    </row>
    <row r="23" spans="1:14" x14ac:dyDescent="0.25">
      <c r="A23" s="26"/>
      <c r="B23" s="21" t="str">
        <f>IF(B22="graphs", CHAR(252),CHAR(251))</f>
        <v>û</v>
      </c>
      <c r="C23" s="21" t="str">
        <f>IF(C22="cars", CHAR(252),CHAR(251))</f>
        <v>û</v>
      </c>
      <c r="D23" s="21" t="str">
        <f>IF(D22="prizes", CHAR(252),CHAR(251))</f>
        <v>û</v>
      </c>
      <c r="E23" s="2">
        <f>IF(B23=CHAR(252),1,0)</f>
        <v>0</v>
      </c>
      <c r="F23" s="2">
        <f>IF(C23=CHAR(252),1,0)</f>
        <v>0</v>
      </c>
      <c r="G23" s="2">
        <f>IF(D23=CHAR(252),1,0)</f>
        <v>0</v>
      </c>
      <c r="H23" s="10">
        <f t="shared" si="0"/>
        <v>0</v>
      </c>
      <c r="I23" s="8"/>
      <c r="K23" s="27"/>
      <c r="L23" s="29"/>
      <c r="M23" s="29"/>
      <c r="N23" s="29"/>
    </row>
    <row r="24" spans="1:14" x14ac:dyDescent="0.25">
      <c r="A24" s="26">
        <v>10</v>
      </c>
      <c r="B24" s="22"/>
      <c r="C24" s="22"/>
      <c r="D24" s="22"/>
      <c r="E24" s="2"/>
      <c r="F24" s="2"/>
      <c r="G24" s="2"/>
      <c r="H24" s="10"/>
      <c r="I24" s="8"/>
      <c r="K24" s="27">
        <v>10</v>
      </c>
      <c r="L24" s="28" t="s">
        <v>32</v>
      </c>
      <c r="M24" s="28" t="s">
        <v>33</v>
      </c>
      <c r="N24" s="28" t="s">
        <v>39</v>
      </c>
    </row>
    <row r="25" spans="1:14" ht="15.75" thickBot="1" x14ac:dyDescent="0.3">
      <c r="A25" s="8"/>
      <c r="B25" s="21" t="str">
        <f>IF(B24="techniques", CHAR(252),CHAR(251))</f>
        <v>û</v>
      </c>
      <c r="C25" s="21" t="str">
        <f>IF(C24="songs", CHAR(252),CHAR(251))</f>
        <v>û</v>
      </c>
      <c r="D25" s="21" t="str">
        <f>IF(D24="noses", CHAR(252),CHAR(251))</f>
        <v>û</v>
      </c>
      <c r="E25" s="2">
        <f>IF(B25=CHAR(252),1,0)</f>
        <v>0</v>
      </c>
      <c r="F25" s="2">
        <f>IF(C25=CHAR(252),1,0)</f>
        <v>0</v>
      </c>
      <c r="G25" s="2">
        <f>IF(D25=CHAR(252),1,0)</f>
        <v>0</v>
      </c>
      <c r="H25" s="10">
        <f t="shared" si="0"/>
        <v>0</v>
      </c>
      <c r="I25" s="8"/>
      <c r="K25" s="27"/>
      <c r="L25" s="29"/>
      <c r="M25" s="29"/>
      <c r="N25" s="29"/>
    </row>
    <row r="26" spans="1:14" hidden="1" x14ac:dyDescent="0.25">
      <c r="A26" s="18"/>
      <c r="B26" s="15"/>
      <c r="C26" s="15"/>
      <c r="D26" s="15"/>
      <c r="E26" s="16"/>
      <c r="F26" s="16"/>
      <c r="G26" s="16"/>
      <c r="H26" s="17">
        <f>SUM(H7:H25)</f>
        <v>0</v>
      </c>
      <c r="I26" s="18"/>
      <c r="J26" s="19"/>
      <c r="K26" s="19"/>
      <c r="L26" s="16"/>
      <c r="M26" s="2"/>
      <c r="N26" s="2"/>
    </row>
    <row r="27" spans="1:14" ht="16.5" thickBot="1" x14ac:dyDescent="0.3">
      <c r="A27" s="8"/>
      <c r="D27" s="25" t="s">
        <v>40</v>
      </c>
      <c r="E27" s="9"/>
      <c r="F27" s="9"/>
      <c r="G27" s="9"/>
      <c r="H27" s="23">
        <f>(H26)/3</f>
        <v>0</v>
      </c>
      <c r="I27" s="24" t="s">
        <v>41</v>
      </c>
      <c r="L27" s="13"/>
    </row>
    <row r="28" spans="1:14" x14ac:dyDescent="0.25">
      <c r="A28" s="8"/>
      <c r="B28" s="8"/>
      <c r="C28" s="8"/>
      <c r="D28" s="8"/>
      <c r="E28" s="8"/>
      <c r="F28" s="8"/>
      <c r="G28" s="8"/>
      <c r="H28" s="8"/>
      <c r="I28" s="8"/>
    </row>
  </sheetData>
  <mergeCells count="46">
    <mergeCell ref="B2:D2"/>
    <mergeCell ref="B3:D3"/>
    <mergeCell ref="L2:N3"/>
    <mergeCell ref="L1:N1"/>
    <mergeCell ref="L4:N4"/>
    <mergeCell ref="H2:H3"/>
    <mergeCell ref="L6:L7"/>
    <mergeCell ref="M6:M7"/>
    <mergeCell ref="N6:N7"/>
    <mergeCell ref="L8:L9"/>
    <mergeCell ref="M8:M9"/>
    <mergeCell ref="N8:N9"/>
    <mergeCell ref="N10:N11"/>
    <mergeCell ref="M10:M11"/>
    <mergeCell ref="L10:L11"/>
    <mergeCell ref="L12:L13"/>
    <mergeCell ref="M12:M13"/>
    <mergeCell ref="N12:N13"/>
    <mergeCell ref="N14:N15"/>
    <mergeCell ref="M14:M15"/>
    <mergeCell ref="L14:L15"/>
    <mergeCell ref="L16:L17"/>
    <mergeCell ref="M16:M17"/>
    <mergeCell ref="N16:N17"/>
    <mergeCell ref="N18:N19"/>
    <mergeCell ref="M18:M19"/>
    <mergeCell ref="L18:L19"/>
    <mergeCell ref="L20:L21"/>
    <mergeCell ref="M20:M21"/>
    <mergeCell ref="N20:N21"/>
    <mergeCell ref="N22:N23"/>
    <mergeCell ref="M22:M23"/>
    <mergeCell ref="L22:L23"/>
    <mergeCell ref="L24:L25"/>
    <mergeCell ref="M24:M25"/>
    <mergeCell ref="N24:N25"/>
    <mergeCell ref="K6:K7"/>
    <mergeCell ref="K8:K9"/>
    <mergeCell ref="K10:K11"/>
    <mergeCell ref="K12:K13"/>
    <mergeCell ref="K14:K15"/>
    <mergeCell ref="K16:K17"/>
    <mergeCell ref="K18:K19"/>
    <mergeCell ref="K20:K21"/>
    <mergeCell ref="K22:K23"/>
    <mergeCell ref="K24:K25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1</xdr:col>
                    <xdr:colOff>28575</xdr:colOff>
                    <xdr:row>26</xdr:row>
                    <xdr:rowOff>19050</xdr:rowOff>
                  </from>
                  <to>
                    <xdr:col>2</xdr:col>
                    <xdr:colOff>723900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DM-Desktop</dc:creator>
  <cp:lastModifiedBy>DM-Desktop</cp:lastModifiedBy>
  <dcterms:created xsi:type="dcterms:W3CDTF">2019-12-03T20:10:11Z</dcterms:created>
  <dcterms:modified xsi:type="dcterms:W3CDTF">2019-12-04T20:52:09Z</dcterms:modified>
</cp:coreProperties>
</file>